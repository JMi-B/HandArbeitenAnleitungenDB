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e.bonenkamp\HandArbeitenAnleitungenDB\Data\"/>
    </mc:Choice>
  </mc:AlternateContent>
  <xr:revisionPtr revIDLastSave="0" documentId="13_ncr:1_{8E26B327-80D7-48D4-B960-E5651305A35B}" xr6:coauthVersionLast="47" xr6:coauthVersionMax="47" xr10:uidLastSave="{00000000-0000-0000-0000-000000000000}"/>
  <bookViews>
    <workbookView xWindow="-90" yWindow="0" windowWidth="19380" windowHeight="20970" activeTab="2" xr2:uid="{CC7E93E5-AD33-4D5D-8E04-BC231D993E75}"/>
  </bookViews>
  <sheets>
    <sheet name="Vollständig" sheetId="1" r:id="rId1"/>
    <sheet name="Tabelle1" sheetId="2" r:id="rId2"/>
    <sheet name="Kontrol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2" i="3"/>
  <c r="C7" i="3"/>
  <c r="D7" i="3"/>
  <c r="E7" i="3"/>
  <c r="F7" i="3"/>
  <c r="G7" i="3"/>
  <c r="H7" i="3"/>
  <c r="B7" i="3"/>
  <c r="Z3" i="1"/>
  <c r="Z2" i="1"/>
</calcChain>
</file>

<file path=xl/sharedStrings.xml><?xml version="1.0" encoding="utf-8"?>
<sst xmlns="http://schemas.openxmlformats.org/spreadsheetml/2006/main" count="760" uniqueCount="209">
  <si>
    <t>MedienArt</t>
  </si>
  <si>
    <t>Untertitel</t>
  </si>
  <si>
    <t>Jahr</t>
  </si>
  <si>
    <t>Verlag</t>
  </si>
  <si>
    <t>Ort</t>
  </si>
  <si>
    <t>ISBN</t>
  </si>
  <si>
    <t>Reihe</t>
  </si>
  <si>
    <t>Band</t>
  </si>
  <si>
    <t>Jahrgang</t>
  </si>
  <si>
    <t>Monat</t>
  </si>
  <si>
    <t>Sonderheft</t>
  </si>
  <si>
    <t>Nachname</t>
  </si>
  <si>
    <t>Vorname</t>
  </si>
  <si>
    <t>Alias</t>
  </si>
  <si>
    <t>Firma</t>
  </si>
  <si>
    <t>Zusatz</t>
  </si>
  <si>
    <t>Grundschnitt</t>
  </si>
  <si>
    <t>Schnittbogen</t>
  </si>
  <si>
    <t>Das große Buch der Handarbeiten</t>
  </si>
  <si>
    <t>Buch</t>
  </si>
  <si>
    <t>X</t>
  </si>
  <si>
    <t>Gruner &amp; Jahr</t>
  </si>
  <si>
    <t>Hamburg</t>
  </si>
  <si>
    <t>Bär</t>
  </si>
  <si>
    <t>Sigrid</t>
  </si>
  <si>
    <t>Khakifarbene Bundfaltenhose</t>
  </si>
  <si>
    <t>false</t>
  </si>
  <si>
    <t>E</t>
  </si>
  <si>
    <t>Japanische Hansschuhe stricken</t>
  </si>
  <si>
    <t>50 neue Projekte vom Strick-Sensei</t>
  </si>
  <si>
    <t>Stiebner</t>
  </si>
  <si>
    <t>Grünwald</t>
  </si>
  <si>
    <t>978-3-8307-0999-2</t>
  </si>
  <si>
    <t>Kestler</t>
  </si>
  <si>
    <t>Bernd</t>
  </si>
  <si>
    <t>Strick-Sensei</t>
  </si>
  <si>
    <t>true</t>
  </si>
  <si>
    <t>English Paper Peircing</t>
  </si>
  <si>
    <t>Muster aus geometrischen Fromen</t>
  </si>
  <si>
    <t>Christopherus</t>
  </si>
  <si>
    <t>Feiburg</t>
  </si>
  <si>
    <t>978-3-8410-6081-5</t>
  </si>
  <si>
    <t>Schmidt</t>
  </si>
  <si>
    <t>Claudia</t>
  </si>
  <si>
    <t>Nadelkissen</t>
  </si>
  <si>
    <t>CD</t>
  </si>
  <si>
    <t>Anna</t>
  </si>
  <si>
    <t>Zeitschrift</t>
  </si>
  <si>
    <t>anna</t>
  </si>
  <si>
    <t>Wende-Mantel</t>
  </si>
  <si>
    <t>Designer Knitting</t>
  </si>
  <si>
    <t>Desingner Knitting deutsch</t>
  </si>
  <si>
    <t>Hexagon-Tuch</t>
  </si>
  <si>
    <t>Burda</t>
  </si>
  <si>
    <t>accessoires</t>
  </si>
  <si>
    <t>burda</t>
  </si>
  <si>
    <t>Cozy Home</t>
  </si>
  <si>
    <t>Patchwork Magazin</t>
  </si>
  <si>
    <t>Taschen selber machen</t>
  </si>
  <si>
    <t>OZ-Verlag</t>
  </si>
  <si>
    <t>Technik trifft Tradition</t>
  </si>
  <si>
    <t>Einfache Windrad-Fäustlige</t>
  </si>
  <si>
    <t>Patchwork Spezial</t>
  </si>
  <si>
    <t>Taschen</t>
  </si>
  <si>
    <t>Ein Ball für den Ball</t>
  </si>
  <si>
    <t>Sonderheft Patchwork Magazin</t>
  </si>
  <si>
    <t>Lunch-Bag</t>
  </si>
  <si>
    <t>Lena‘s Patchwork</t>
  </si>
  <si>
    <t>Traveller‘s Friend</t>
  </si>
  <si>
    <t>Trendige Taschen</t>
  </si>
  <si>
    <t>Endlich Pausen-Zeit</t>
  </si>
  <si>
    <t>Für alle Fälle</t>
  </si>
  <si>
    <t>Freie Fahrt</t>
  </si>
  <si>
    <t>Viel-Falt</t>
  </si>
  <si>
    <t>Kimikos Tasche</t>
  </si>
  <si>
    <t>Flechttasche</t>
  </si>
  <si>
    <t>Patchwork &amp; Nähen</t>
  </si>
  <si>
    <t>Die 100 besten Ideen</t>
  </si>
  <si>
    <t>Little Noah</t>
  </si>
  <si>
    <t>Immer den Durchblick behalten</t>
  </si>
  <si>
    <t>Monstertasche</t>
  </si>
  <si>
    <t>Für Dich</t>
  </si>
  <si>
    <t>Patchwork &amp; Nähen Spezial</t>
  </si>
  <si>
    <t>Ordnungshelden</t>
  </si>
  <si>
    <t>Brotzeitköfferchen</t>
  </si>
  <si>
    <t>TitelMedium</t>
  </si>
  <si>
    <t>NameAnleitung</t>
  </si>
  <si>
    <t>Lena</t>
  </si>
  <si>
    <t>P&amp;N</t>
  </si>
  <si>
    <t>Seitenzahl</t>
  </si>
  <si>
    <t>Hexagon, Raute &amp; Co</t>
  </si>
  <si>
    <t>Sabrina Nähen Special</t>
  </si>
  <si>
    <t>Ideen fürs neue Jahr</t>
  </si>
  <si>
    <t>SN 059</t>
  </si>
  <si>
    <t>Zum Nähen schön</t>
  </si>
  <si>
    <t>Für mein Nähzimmer</t>
  </si>
  <si>
    <t>Stern</t>
  </si>
  <si>
    <t>Geschenke für Mutti selbstgemacht</t>
  </si>
  <si>
    <t>Handarbeitskörbchen</t>
  </si>
  <si>
    <t>Spaß mit Patchwork</t>
  </si>
  <si>
    <t>Tea-rific</t>
  </si>
  <si>
    <t>Nählady</t>
  </si>
  <si>
    <t>Stricknadelordnung</t>
  </si>
  <si>
    <t>Unter der Haube…</t>
  </si>
  <si>
    <t>Dekorativer Stauraum</t>
  </si>
  <si>
    <t>Gut erpackt</t>
  </si>
  <si>
    <t>Die kleine Reiseapotheke</t>
  </si>
  <si>
    <t>Spielereien</t>
  </si>
  <si>
    <t>My Sewing Box</t>
  </si>
  <si>
    <t>Ordnungshelfer</t>
  </si>
  <si>
    <t>Quilter‘s Hip-Bag</t>
  </si>
  <si>
    <t>Alles in Ordnung?</t>
  </si>
  <si>
    <t>Burda Patchwork</t>
  </si>
  <si>
    <t>Best of</t>
  </si>
  <si>
    <t>Nähetui</t>
  </si>
  <si>
    <t>Ordentlich kreativ</t>
  </si>
  <si>
    <t>Stitch in Time</t>
  </si>
  <si>
    <t>Mein kleines Nähzimmer</t>
  </si>
  <si>
    <t>Schöne Aussichten</t>
  </si>
  <si>
    <t>2 in 1- Alles dabei</t>
  </si>
  <si>
    <t>Ordnung muss sein</t>
  </si>
  <si>
    <t>Utensilo „To Go“</t>
  </si>
  <si>
    <t>F</t>
  </si>
  <si>
    <t>40 Projekte in edlem Blau</t>
  </si>
  <si>
    <t>Tasche für Nähutensilien</t>
  </si>
  <si>
    <t>H</t>
  </si>
  <si>
    <t>Etuit für Boutis-Nadeln</t>
  </si>
  <si>
    <t>Biscoru</t>
  </si>
  <si>
    <t>Nähstoff</t>
  </si>
  <si>
    <t>Fadenkörbchen &amp; Nadelkissen</t>
  </si>
  <si>
    <t>Projekttasche &amp; Nadelrolle</t>
  </si>
  <si>
    <t>HeftThema</t>
  </si>
  <si>
    <t>Herbst</t>
  </si>
  <si>
    <t>ModelNR</t>
  </si>
  <si>
    <t>HeftNR</t>
  </si>
  <si>
    <t>Ravensburg</t>
  </si>
  <si>
    <t>cravty</t>
  </si>
  <si>
    <t>Shizuko</t>
  </si>
  <si>
    <t>Kutoh</t>
  </si>
  <si>
    <t>C:\Users\juliane.bonenkamp\HandArbeitenAnleitungenDB\Data\strick\Mützen\1523941356_GestrickteTeufelsmtzeausRainbowBaumwolle.pdf</t>
  </si>
  <si>
    <t>Dateiname</t>
  </si>
  <si>
    <t>Pfad</t>
  </si>
  <si>
    <t>Dateiformat</t>
  </si>
  <si>
    <t>Datum</t>
  </si>
  <si>
    <t xml:space="preserve">Ausdruck </t>
  </si>
  <si>
    <t>GanzerText</t>
  </si>
  <si>
    <t>1523941356_GestrickteTeufelsmtzeausRainbowBaumwolle.pdf</t>
  </si>
  <si>
    <t>1523941356_GestrickteTeufelsmtzeausRainbowBaumwolle</t>
  </si>
  <si>
    <t>pdf</t>
  </si>
  <si>
    <t>Datei</t>
  </si>
  <si>
    <t>hobbii</t>
  </si>
  <si>
    <t>Gestrickte Teufelsmütze aus Rainbow Baumwolle</t>
  </si>
  <si>
    <t>C:\Users\juliane.bonenkamp\HandArbeitenAnleitungenDB\Data\strick\Mützen\DROPS Extra 0-882 - Gestrickte DROPS Mütze mit Dominomuster aus _Delight_. - Free pattern by DROPS Design.pdf</t>
  </si>
  <si>
    <t>DROPS Extra 0-882 - Gestrickte DROPS Mütze mit Dominomuster aus _Delight_. - Free pattern by DROPS Design.pdf</t>
  </si>
  <si>
    <t>Drops-Desing</t>
  </si>
  <si>
    <t>Gestrickte DROPS Mütze mit Dominomuster aus Delight</t>
  </si>
  <si>
    <t>0-882</t>
  </si>
  <si>
    <t>C:\Users\juliane.bonenkamp\HandArbeitenAnleitungenDB\Data\strick\Mützen\Granite - Gestrickte Mütze in DROPS Big Delight. Die Arbeit wird kraus rechts mit Pompon gestrickt. - Free pattern by DROPS Design.pdf</t>
  </si>
  <si>
    <t>Granite - Gestrickte Mütze in DROPS Big Delight. Die Arbeit wird kraus rechts mit Pompon gestrickt. - Free pattern by DROPS Design.pdf</t>
  </si>
  <si>
    <t>Granite - Gestrickte Mütze in DROPS Big Delight. Die Arbeit wird kraus rechts mit Pompon gestrickt</t>
  </si>
  <si>
    <t>DROPS Extra 0-882 - Gestrickte DROPS Mütze mit Dominomuster aus _Delight</t>
  </si>
  <si>
    <t>Grante</t>
  </si>
  <si>
    <t>bd-093</t>
  </si>
  <si>
    <t>o. J.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</si>
  <si>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</si>
  <si>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</si>
  <si>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</si>
  <si>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</si>
  <si>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</si>
  <si>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</si>
  <si>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</si>
  <si>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</si>
  <si>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</si>
  <si>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XI</t>
  </si>
  <si>
    <t>XII</t>
  </si>
  <si>
    <t>XIII</t>
  </si>
  <si>
    <t>XIV</t>
  </si>
  <si>
    <t>XV</t>
  </si>
  <si>
    <t>Japanisch Quilten</t>
  </si>
  <si>
    <t>o.J.</t>
  </si>
  <si>
    <t>AnzahlBuch</t>
  </si>
  <si>
    <t>ZeitschriftenGesamt</t>
  </si>
  <si>
    <t>Datenebank</t>
  </si>
  <si>
    <t>1. Durchlauf</t>
  </si>
  <si>
    <t>anleitung</t>
  </si>
  <si>
    <t>anleitungautor</t>
  </si>
  <si>
    <t>autor</t>
  </si>
  <si>
    <t>buch</t>
  </si>
  <si>
    <t>medium</t>
  </si>
  <si>
    <t>mediumautor</t>
  </si>
  <si>
    <t>zeitschrift</t>
  </si>
  <si>
    <t>2. Duchlauf</t>
  </si>
  <si>
    <t>Veränderung</t>
  </si>
  <si>
    <t>doppelte DS</t>
  </si>
  <si>
    <t>1 Khakifarbene Bundfaltenhose</t>
  </si>
  <si>
    <t>2 Khakifarbene Bundfaltenhose</t>
  </si>
  <si>
    <t>3 Khakifarbene Bundfaltenhose</t>
  </si>
  <si>
    <t>4 Khakifarbene Bundfaltenhose</t>
  </si>
  <si>
    <t>5 Khakifarbene Bundfaltenhose</t>
  </si>
  <si>
    <t>6 Khakifarbene Bundfaltenhose</t>
  </si>
  <si>
    <t>7 Khakifarbene Bundfaltenhose</t>
  </si>
  <si>
    <t>8 Khakifarbene Bundfaltenhose</t>
  </si>
  <si>
    <t>9 Khakifarbene Bundfaltenhose</t>
  </si>
  <si>
    <t>10 Khakifarbene Bundfaltenhose</t>
  </si>
  <si>
    <t>11 Khakifarbene Bundfaltenhose</t>
  </si>
  <si>
    <t>12 Khakifarbene Bundfaltenhose</t>
  </si>
  <si>
    <t>13 Khakifarbene Bundfaltenhose</t>
  </si>
  <si>
    <t>14 Khakifarbene Bundfaltenhose</t>
  </si>
  <si>
    <t>SummeDS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</si>
</sst>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Liberation Sans"/>
    </font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sz val="11"/>
      <color rgb="FF000000"/>
      <name val="Aptos Narrow"/>
      <family val="2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2" fillId="8" borderId="0" applyNumberFormat="0" applyBorder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3" fillId="8" borderId="1" applyNumberFormat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5">
    <xf numFmtId="0" fontId="0" fillId="0" borderId="0" xfId="0"/>
    <xf numFmtId="17" fontId="0" fillId="0" borderId="0" xfId="0" applyNumberFormat="1"/>
    <xf numFmtId="14" fontId="0" fillId="0" borderId="0" xfId="0" applyNumberFormat="1"/>
    <xf numFmtId="0" fontId="0" fillId="9" borderId="0" xfId="0" applyFill="1"/>
    <xf numFmtId="0" fontId="0" fillId="10" borderId="0" xfId="0" applyFill="1"/>
  </cellXfs>
  <cellStyles count="20">
    <cellStyle name="Accent" xfId="2" xr:uid="{1C3C9374-E2EF-4DB6-8B8B-F8F759FFE405}"/>
    <cellStyle name="Accent 1" xfId="3" xr:uid="{2EAA5A15-5FC0-4607-B579-A117AFBD2FC7}"/>
    <cellStyle name="Accent 2" xfId="4" xr:uid="{E108939A-1EEE-40AA-997C-A05FA9E873B1}"/>
    <cellStyle name="Accent 3" xfId="5" xr:uid="{F88855C9-A753-4A27-AC45-B99418F9EF79}"/>
    <cellStyle name="Bad" xfId="6" xr:uid="{C4B7AC05-633B-45CF-AB4C-FB78F704093D}"/>
    <cellStyle name="Default" xfId="7" xr:uid="{584E3BB1-51A8-4ADD-BE15-53468AD6B636}"/>
    <cellStyle name="Error" xfId="8" xr:uid="{8A57965A-9862-4B42-B549-87778F99BBA4}"/>
    <cellStyle name="Footnote" xfId="9" xr:uid="{4F00515A-E6EC-4F7D-AD7E-0BFCB3A77E91}"/>
    <cellStyle name="Good" xfId="10" xr:uid="{B0B443C0-4A5D-4EC0-9A7F-DA96E63BAF5A}"/>
    <cellStyle name="Heading" xfId="11" xr:uid="{4A72ADDD-C4DB-4D7D-BD03-A041EC37540B}"/>
    <cellStyle name="Heading 1" xfId="12" xr:uid="{BE55BA95-FBB8-4584-94C5-D1ACBD91ACE6}"/>
    <cellStyle name="Heading 2" xfId="13" xr:uid="{1CB54E1D-78F2-46A9-8BEC-81AD64DB764B}"/>
    <cellStyle name="Hyperlink" xfId="14" xr:uid="{0A568F89-0AAE-4CDC-8648-41D120045258}"/>
    <cellStyle name="Neutral" xfId="1" builtinId="28" customBuiltin="1"/>
    <cellStyle name="Note" xfId="15" xr:uid="{B3E1CD16-779A-49D0-BAC4-7FDB6A0AB698}"/>
    <cellStyle name="Result" xfId="16" xr:uid="{56DC09D1-A98A-40B4-AAE8-07DFB8D5175A}"/>
    <cellStyle name="Standard" xfId="0" builtinId="0" customBuiltin="1"/>
    <cellStyle name="Status" xfId="17" xr:uid="{541107ED-B0EF-4499-9D4B-56AF97E97F35}"/>
    <cellStyle name="Text" xfId="18" xr:uid="{4011188D-F837-44BB-B05D-B6E231B001D5}"/>
    <cellStyle name="Warning" xfId="19" xr:uid="{18DB3CEC-B8E2-4849-A300-0D3E024EE7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F388-6528-40D4-A910-773B4225880C}">
  <dimension ref="A1:Z78"/>
  <sheetViews>
    <sheetView topLeftCell="H1" workbookViewId="0">
      <selection activeCell="T7" sqref="T7"/>
    </sheetView>
  </sheetViews>
  <sheetFormatPr baseColWidth="10" defaultRowHeight="12.5"/>
  <cols>
    <col min="1" max="1" width="30" customWidth="1"/>
    <col min="2" max="2" width="10" customWidth="1"/>
    <col min="3" max="3" width="31.1796875" customWidth="1"/>
    <col min="4" max="4" width="5.7265625" customWidth="1"/>
    <col min="5" max="5" width="13.1796875" customWidth="1"/>
    <col min="6" max="6" width="9.54296875" customWidth="1"/>
    <col min="7" max="7" width="17.54296875" customWidth="1"/>
    <col min="8" max="8" width="30" customWidth="1"/>
    <col min="9" max="14" width="5.90625" customWidth="1"/>
    <col min="15" max="15" width="10.6328125" customWidth="1"/>
    <col min="16" max="16" width="9.08984375" customWidth="1"/>
    <col min="17" max="18" width="12.6328125" customWidth="1"/>
    <col min="19" max="19" width="7.08984375" customWidth="1"/>
    <col min="20" max="20" width="26.1796875" customWidth="1"/>
    <col min="21" max="21" width="11.26953125" customWidth="1"/>
    <col min="22" max="22" width="12" customWidth="1"/>
    <col min="23" max="23" width="13.90625" customWidth="1"/>
    <col min="24" max="24" width="12.453125" customWidth="1"/>
    <col min="25" max="25" width="10.90625" customWidth="1"/>
  </cols>
  <sheetData>
    <row r="1" spans="1:26">
      <c r="A1" t="s">
        <v>85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131</v>
      </c>
      <c r="K1" t="s">
        <v>8</v>
      </c>
      <c r="L1" t="s">
        <v>9</v>
      </c>
      <c r="M1" t="s">
        <v>134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86</v>
      </c>
      <c r="U1" t="s">
        <v>89</v>
      </c>
      <c r="V1" t="s">
        <v>16</v>
      </c>
      <c r="W1" t="s">
        <v>133</v>
      </c>
      <c r="X1" t="s">
        <v>17</v>
      </c>
    </row>
    <row r="2" spans="1:26">
      <c r="A2" t="s">
        <v>18</v>
      </c>
      <c r="B2" t="s">
        <v>19</v>
      </c>
      <c r="C2" t="s">
        <v>164</v>
      </c>
      <c r="D2" t="s">
        <v>179</v>
      </c>
      <c r="E2" t="s">
        <v>21</v>
      </c>
      <c r="F2" t="s">
        <v>22</v>
      </c>
      <c r="H2" t="s">
        <v>18</v>
      </c>
      <c r="I2">
        <v>1</v>
      </c>
      <c r="K2" t="s">
        <v>163</v>
      </c>
      <c r="O2" t="s">
        <v>23</v>
      </c>
      <c r="P2" t="s">
        <v>24</v>
      </c>
      <c r="R2" t="s">
        <v>21</v>
      </c>
      <c r="T2" s="4" t="s">
        <v>25</v>
      </c>
      <c r="U2">
        <v>345</v>
      </c>
      <c r="V2" t="s">
        <v>26</v>
      </c>
      <c r="W2">
        <v>42</v>
      </c>
      <c r="X2" t="s">
        <v>27</v>
      </c>
      <c r="Y2" t="s">
        <v>180</v>
      </c>
      <c r="Z2">
        <f>7+14-2</f>
        <v>19</v>
      </c>
    </row>
    <row r="3" spans="1:26">
      <c r="A3" t="s">
        <v>37</v>
      </c>
      <c r="B3" t="s">
        <v>19</v>
      </c>
      <c r="C3" t="s">
        <v>38</v>
      </c>
      <c r="D3">
        <v>2011</v>
      </c>
      <c r="E3" t="s">
        <v>39</v>
      </c>
      <c r="F3" t="s">
        <v>40</v>
      </c>
      <c r="G3" t="s">
        <v>41</v>
      </c>
      <c r="K3" t="s">
        <v>163</v>
      </c>
      <c r="O3" t="s">
        <v>42</v>
      </c>
      <c r="P3" t="s">
        <v>43</v>
      </c>
      <c r="T3" s="4" t="s">
        <v>44</v>
      </c>
      <c r="U3">
        <v>69</v>
      </c>
      <c r="V3" t="s">
        <v>26</v>
      </c>
      <c r="X3" t="s">
        <v>45</v>
      </c>
      <c r="Y3" t="s">
        <v>181</v>
      </c>
      <c r="Z3">
        <f>64-9</f>
        <v>55</v>
      </c>
    </row>
    <row r="4" spans="1:26">
      <c r="A4" t="s">
        <v>97</v>
      </c>
      <c r="B4" t="s">
        <v>19</v>
      </c>
      <c r="D4" t="s">
        <v>179</v>
      </c>
      <c r="E4" t="s">
        <v>135</v>
      </c>
      <c r="K4" t="s">
        <v>163</v>
      </c>
      <c r="N4" t="s">
        <v>26</v>
      </c>
      <c r="R4" t="s">
        <v>135</v>
      </c>
      <c r="T4" s="4" t="s">
        <v>98</v>
      </c>
      <c r="U4">
        <v>9</v>
      </c>
      <c r="W4">
        <v>9</v>
      </c>
    </row>
    <row r="5" spans="1:26">
      <c r="A5" t="s">
        <v>178</v>
      </c>
      <c r="B5" t="s">
        <v>19</v>
      </c>
      <c r="C5" t="s">
        <v>123</v>
      </c>
      <c r="D5" t="s">
        <v>179</v>
      </c>
      <c r="K5" t="s">
        <v>163</v>
      </c>
      <c r="N5" t="s">
        <v>26</v>
      </c>
      <c r="O5" t="s">
        <v>138</v>
      </c>
      <c r="P5" t="s">
        <v>137</v>
      </c>
      <c r="T5" s="4" t="s">
        <v>114</v>
      </c>
      <c r="U5">
        <v>73</v>
      </c>
      <c r="W5" t="s">
        <v>122</v>
      </c>
    </row>
    <row r="6" spans="1:26">
      <c r="A6" t="s">
        <v>178</v>
      </c>
      <c r="B6" t="s">
        <v>19</v>
      </c>
      <c r="C6" t="s">
        <v>123</v>
      </c>
      <c r="D6" t="s">
        <v>179</v>
      </c>
      <c r="K6" t="s">
        <v>163</v>
      </c>
      <c r="N6" t="s">
        <v>26</v>
      </c>
      <c r="O6" t="s">
        <v>138</v>
      </c>
      <c r="P6" t="s">
        <v>137</v>
      </c>
      <c r="T6" s="4" t="s">
        <v>124</v>
      </c>
      <c r="U6">
        <v>77</v>
      </c>
      <c r="W6" t="s">
        <v>125</v>
      </c>
    </row>
    <row r="7" spans="1:26">
      <c r="A7" t="s">
        <v>178</v>
      </c>
      <c r="B7" t="s">
        <v>19</v>
      </c>
      <c r="C7" t="s">
        <v>123</v>
      </c>
      <c r="D7" t="s">
        <v>179</v>
      </c>
      <c r="K7" t="s">
        <v>163</v>
      </c>
      <c r="N7" t="s">
        <v>26</v>
      </c>
      <c r="O7" t="s">
        <v>138</v>
      </c>
      <c r="P7" t="s">
        <v>137</v>
      </c>
      <c r="T7" s="4" t="s">
        <v>126</v>
      </c>
      <c r="U7">
        <v>77</v>
      </c>
    </row>
    <row r="8" spans="1:26">
      <c r="A8" t="s">
        <v>28</v>
      </c>
      <c r="B8" t="s">
        <v>19</v>
      </c>
      <c r="C8" t="s">
        <v>29</v>
      </c>
      <c r="D8">
        <v>2019</v>
      </c>
      <c r="E8" t="s">
        <v>30</v>
      </c>
      <c r="F8" t="s">
        <v>31</v>
      </c>
      <c r="G8" t="s">
        <v>32</v>
      </c>
      <c r="K8" t="s">
        <v>163</v>
      </c>
      <c r="O8" t="s">
        <v>33</v>
      </c>
      <c r="P8" t="s">
        <v>34</v>
      </c>
      <c r="Q8" t="s">
        <v>35</v>
      </c>
      <c r="T8" s="3" t="s">
        <v>61</v>
      </c>
      <c r="U8">
        <v>52</v>
      </c>
      <c r="V8" t="s">
        <v>36</v>
      </c>
      <c r="W8">
        <v>2</v>
      </c>
    </row>
    <row r="9" spans="1:26">
      <c r="A9" t="s">
        <v>46</v>
      </c>
      <c r="B9" t="s">
        <v>47</v>
      </c>
      <c r="K9">
        <v>2010</v>
      </c>
      <c r="L9">
        <v>12</v>
      </c>
      <c r="N9" t="s">
        <v>26</v>
      </c>
      <c r="R9" t="s">
        <v>48</v>
      </c>
      <c r="T9" s="3" t="s">
        <v>49</v>
      </c>
      <c r="U9">
        <v>54</v>
      </c>
      <c r="V9" t="s">
        <v>26</v>
      </c>
      <c r="W9">
        <v>50</v>
      </c>
    </row>
    <row r="10" spans="1:26">
      <c r="A10" t="s">
        <v>46</v>
      </c>
      <c r="B10" t="s">
        <v>47</v>
      </c>
      <c r="K10">
        <v>2011</v>
      </c>
      <c r="L10">
        <v>4</v>
      </c>
      <c r="M10" s="1"/>
      <c r="N10" t="s">
        <v>26</v>
      </c>
      <c r="R10" t="s">
        <v>48</v>
      </c>
      <c r="T10" s="3" t="s">
        <v>127</v>
      </c>
      <c r="U10">
        <v>25</v>
      </c>
      <c r="W10">
        <v>21</v>
      </c>
    </row>
    <row r="11" spans="1:26">
      <c r="A11" t="s">
        <v>53</v>
      </c>
      <c r="B11" t="s">
        <v>47</v>
      </c>
      <c r="J11" t="s">
        <v>54</v>
      </c>
      <c r="K11">
        <v>2018</v>
      </c>
      <c r="L11">
        <v>5</v>
      </c>
      <c r="N11" t="s">
        <v>26</v>
      </c>
      <c r="R11" t="s">
        <v>55</v>
      </c>
      <c r="T11" s="3" t="s">
        <v>56</v>
      </c>
      <c r="U11">
        <v>11</v>
      </c>
      <c r="V11" t="s">
        <v>26</v>
      </c>
      <c r="W11">
        <v>34</v>
      </c>
    </row>
    <row r="12" spans="1:26">
      <c r="A12" t="s">
        <v>112</v>
      </c>
      <c r="B12" t="s">
        <v>47</v>
      </c>
      <c r="J12" t="s">
        <v>113</v>
      </c>
      <c r="K12">
        <v>2018</v>
      </c>
      <c r="M12" t="s">
        <v>132</v>
      </c>
      <c r="N12" t="s">
        <v>26</v>
      </c>
      <c r="R12" t="s">
        <v>55</v>
      </c>
      <c r="T12" s="3" t="s">
        <v>114</v>
      </c>
      <c r="U12">
        <v>17</v>
      </c>
    </row>
    <row r="13" spans="1:26">
      <c r="A13" t="s">
        <v>50</v>
      </c>
      <c r="B13" t="s">
        <v>47</v>
      </c>
      <c r="K13">
        <v>2019</v>
      </c>
      <c r="L13">
        <v>2</v>
      </c>
      <c r="N13" t="s">
        <v>26</v>
      </c>
      <c r="R13" t="s">
        <v>51</v>
      </c>
      <c r="T13" s="3" t="s">
        <v>52</v>
      </c>
      <c r="U13">
        <v>8</v>
      </c>
      <c r="V13" t="s">
        <v>26</v>
      </c>
    </row>
    <row r="14" spans="1:26">
      <c r="A14" t="s">
        <v>67</v>
      </c>
      <c r="B14" t="s">
        <v>47</v>
      </c>
      <c r="J14" t="s">
        <v>63</v>
      </c>
      <c r="K14">
        <v>2010</v>
      </c>
      <c r="L14">
        <v>3</v>
      </c>
      <c r="N14" t="s">
        <v>26</v>
      </c>
      <c r="R14" t="s">
        <v>59</v>
      </c>
      <c r="T14" s="3" t="s">
        <v>68</v>
      </c>
      <c r="U14">
        <v>26</v>
      </c>
      <c r="V14" t="s">
        <v>26</v>
      </c>
    </row>
    <row r="15" spans="1:26">
      <c r="A15" t="s">
        <v>67</v>
      </c>
      <c r="B15" t="s">
        <v>47</v>
      </c>
      <c r="J15" t="s">
        <v>69</v>
      </c>
      <c r="K15">
        <v>2015</v>
      </c>
      <c r="M15">
        <v>43</v>
      </c>
      <c r="N15" t="s">
        <v>26</v>
      </c>
      <c r="R15" t="s">
        <v>87</v>
      </c>
      <c r="T15" s="3" t="s">
        <v>70</v>
      </c>
      <c r="U15">
        <v>10</v>
      </c>
      <c r="V15" t="s">
        <v>26</v>
      </c>
      <c r="W15">
        <v>4</v>
      </c>
    </row>
    <row r="16" spans="1:26">
      <c r="A16" t="s">
        <v>67</v>
      </c>
      <c r="B16" t="s">
        <v>47</v>
      </c>
      <c r="J16" t="s">
        <v>69</v>
      </c>
      <c r="K16">
        <v>2015</v>
      </c>
      <c r="M16">
        <v>43</v>
      </c>
      <c r="N16" t="s">
        <v>26</v>
      </c>
      <c r="R16" t="s">
        <v>87</v>
      </c>
      <c r="T16" s="3" t="s">
        <v>71</v>
      </c>
      <c r="U16">
        <v>12</v>
      </c>
      <c r="V16" t="s">
        <v>26</v>
      </c>
      <c r="W16">
        <v>5</v>
      </c>
    </row>
    <row r="17" spans="1:23">
      <c r="A17" t="s">
        <v>67</v>
      </c>
      <c r="B17" t="s">
        <v>47</v>
      </c>
      <c r="J17" t="s">
        <v>69</v>
      </c>
      <c r="K17">
        <v>2015</v>
      </c>
      <c r="M17">
        <v>43</v>
      </c>
      <c r="N17" t="s">
        <v>26</v>
      </c>
      <c r="R17" t="s">
        <v>87</v>
      </c>
      <c r="T17" s="3" t="s">
        <v>72</v>
      </c>
      <c r="U17">
        <v>40</v>
      </c>
      <c r="V17" t="s">
        <v>26</v>
      </c>
      <c r="W17">
        <v>13</v>
      </c>
    </row>
    <row r="18" spans="1:23">
      <c r="A18" t="s">
        <v>67</v>
      </c>
      <c r="B18" t="s">
        <v>47</v>
      </c>
      <c r="J18" t="s">
        <v>69</v>
      </c>
      <c r="K18">
        <v>2015</v>
      </c>
      <c r="M18">
        <v>43</v>
      </c>
      <c r="N18" t="s">
        <v>26</v>
      </c>
      <c r="R18" t="s">
        <v>87</v>
      </c>
      <c r="T18" s="3" t="s">
        <v>73</v>
      </c>
      <c r="U18">
        <v>48</v>
      </c>
      <c r="V18" t="s">
        <v>26</v>
      </c>
      <c r="W18">
        <v>15</v>
      </c>
    </row>
    <row r="19" spans="1:23">
      <c r="A19" t="s">
        <v>67</v>
      </c>
      <c r="B19" t="s">
        <v>47</v>
      </c>
      <c r="J19" t="s">
        <v>63</v>
      </c>
      <c r="K19">
        <v>2013</v>
      </c>
      <c r="M19">
        <v>43</v>
      </c>
      <c r="N19" t="s">
        <v>26</v>
      </c>
      <c r="R19" t="s">
        <v>87</v>
      </c>
      <c r="T19" s="3" t="s">
        <v>81</v>
      </c>
      <c r="U19">
        <v>60</v>
      </c>
      <c r="V19" t="s">
        <v>26</v>
      </c>
      <c r="W19">
        <v>19</v>
      </c>
    </row>
    <row r="20" spans="1:23">
      <c r="A20" t="s">
        <v>67</v>
      </c>
      <c r="B20" t="s">
        <v>47</v>
      </c>
      <c r="J20" t="s">
        <v>69</v>
      </c>
      <c r="K20" t="s">
        <v>163</v>
      </c>
      <c r="M20">
        <v>43</v>
      </c>
      <c r="N20" t="s">
        <v>26</v>
      </c>
      <c r="R20" t="s">
        <v>87</v>
      </c>
      <c r="T20" s="3" t="s">
        <v>104</v>
      </c>
      <c r="U20">
        <v>26</v>
      </c>
      <c r="W20">
        <v>9</v>
      </c>
    </row>
    <row r="21" spans="1:23">
      <c r="A21" t="s">
        <v>67</v>
      </c>
      <c r="B21" t="s">
        <v>47</v>
      </c>
      <c r="J21" t="s">
        <v>63</v>
      </c>
      <c r="K21">
        <v>2010</v>
      </c>
      <c r="L21">
        <v>3</v>
      </c>
      <c r="M21" s="1"/>
      <c r="N21" t="s">
        <v>26</v>
      </c>
      <c r="R21" t="s">
        <v>87</v>
      </c>
      <c r="T21" s="3" t="s">
        <v>111</v>
      </c>
      <c r="U21">
        <v>30</v>
      </c>
    </row>
    <row r="22" spans="1:23">
      <c r="A22" t="s">
        <v>128</v>
      </c>
      <c r="B22" t="s">
        <v>47</v>
      </c>
      <c r="K22" t="s">
        <v>163</v>
      </c>
      <c r="M22">
        <v>1</v>
      </c>
      <c r="N22" t="s">
        <v>26</v>
      </c>
      <c r="R22" t="s">
        <v>136</v>
      </c>
      <c r="T22" s="3" t="s">
        <v>129</v>
      </c>
      <c r="U22">
        <v>62</v>
      </c>
    </row>
    <row r="23" spans="1:23">
      <c r="A23" t="s">
        <v>128</v>
      </c>
      <c r="B23" t="s">
        <v>47</v>
      </c>
      <c r="K23" t="s">
        <v>163</v>
      </c>
      <c r="M23">
        <v>1</v>
      </c>
      <c r="N23" t="s">
        <v>26</v>
      </c>
      <c r="R23" t="s">
        <v>136</v>
      </c>
      <c r="T23" t="s">
        <v>130</v>
      </c>
      <c r="U23">
        <v>64</v>
      </c>
    </row>
    <row r="24" spans="1:23">
      <c r="A24" t="s">
        <v>128</v>
      </c>
      <c r="B24" t="s">
        <v>47</v>
      </c>
      <c r="K24" t="s">
        <v>163</v>
      </c>
      <c r="M24">
        <v>1</v>
      </c>
      <c r="N24" t="s">
        <v>26</v>
      </c>
      <c r="R24" t="s">
        <v>136</v>
      </c>
      <c r="T24" s="3" t="s">
        <v>130</v>
      </c>
      <c r="U24">
        <v>64</v>
      </c>
    </row>
    <row r="25" spans="1:23">
      <c r="A25" t="s">
        <v>76</v>
      </c>
      <c r="B25" t="s">
        <v>47</v>
      </c>
      <c r="J25" t="s">
        <v>77</v>
      </c>
      <c r="K25">
        <v>2020</v>
      </c>
      <c r="L25">
        <v>1</v>
      </c>
      <c r="N25" t="s">
        <v>26</v>
      </c>
      <c r="R25" t="s">
        <v>88</v>
      </c>
      <c r="T25" t="s">
        <v>78</v>
      </c>
      <c r="U25">
        <v>42</v>
      </c>
      <c r="V25" t="s">
        <v>26</v>
      </c>
    </row>
    <row r="26" spans="1:23">
      <c r="A26" t="s">
        <v>76</v>
      </c>
      <c r="B26" t="s">
        <v>47</v>
      </c>
      <c r="J26" t="s">
        <v>77</v>
      </c>
      <c r="K26">
        <v>2020</v>
      </c>
      <c r="L26">
        <v>1</v>
      </c>
      <c r="N26" t="s">
        <v>26</v>
      </c>
      <c r="R26" t="s">
        <v>88</v>
      </c>
      <c r="T26" s="3" t="s">
        <v>78</v>
      </c>
      <c r="U26">
        <v>42</v>
      </c>
      <c r="V26" t="s">
        <v>26</v>
      </c>
    </row>
    <row r="27" spans="1:23">
      <c r="A27" t="s">
        <v>76</v>
      </c>
      <c r="B27" t="s">
        <v>47</v>
      </c>
      <c r="J27" t="s">
        <v>77</v>
      </c>
      <c r="K27">
        <v>2020</v>
      </c>
      <c r="L27">
        <v>1</v>
      </c>
      <c r="N27" t="s">
        <v>26</v>
      </c>
      <c r="R27" t="s">
        <v>88</v>
      </c>
      <c r="T27" s="3" t="s">
        <v>79</v>
      </c>
      <c r="U27">
        <v>46</v>
      </c>
      <c r="V27" t="s">
        <v>26</v>
      </c>
    </row>
    <row r="28" spans="1:23">
      <c r="A28" t="s">
        <v>76</v>
      </c>
      <c r="B28" t="s">
        <v>47</v>
      </c>
      <c r="J28" t="s">
        <v>77</v>
      </c>
      <c r="K28">
        <v>2020</v>
      </c>
      <c r="L28">
        <v>1</v>
      </c>
      <c r="M28" s="1"/>
      <c r="N28" t="s">
        <v>26</v>
      </c>
      <c r="R28" t="s">
        <v>88</v>
      </c>
      <c r="T28" s="3" t="s">
        <v>95</v>
      </c>
      <c r="U28">
        <v>28</v>
      </c>
    </row>
    <row r="29" spans="1:23">
      <c r="A29" t="s">
        <v>76</v>
      </c>
      <c r="B29" t="s">
        <v>47</v>
      </c>
      <c r="J29" t="s">
        <v>77</v>
      </c>
      <c r="K29">
        <v>2020</v>
      </c>
      <c r="L29">
        <v>1</v>
      </c>
      <c r="M29" s="1"/>
      <c r="N29" t="s">
        <v>26</v>
      </c>
      <c r="R29" t="s">
        <v>88</v>
      </c>
      <c r="T29" t="s">
        <v>95</v>
      </c>
      <c r="U29">
        <v>28</v>
      </c>
    </row>
    <row r="30" spans="1:23">
      <c r="A30" t="s">
        <v>76</v>
      </c>
      <c r="B30" t="s">
        <v>47</v>
      </c>
      <c r="J30" t="s">
        <v>77</v>
      </c>
      <c r="K30">
        <v>2020</v>
      </c>
      <c r="L30">
        <v>1</v>
      </c>
      <c r="M30" s="1"/>
      <c r="N30" t="s">
        <v>26</v>
      </c>
      <c r="R30" t="s">
        <v>88</v>
      </c>
      <c r="T30" s="3" t="s">
        <v>95</v>
      </c>
      <c r="U30">
        <v>29</v>
      </c>
    </row>
    <row r="31" spans="1:23">
      <c r="A31" t="s">
        <v>76</v>
      </c>
      <c r="B31" t="s">
        <v>47</v>
      </c>
      <c r="J31" t="s">
        <v>77</v>
      </c>
      <c r="K31">
        <v>2020</v>
      </c>
      <c r="L31">
        <v>1</v>
      </c>
      <c r="M31" s="1"/>
      <c r="N31" t="s">
        <v>26</v>
      </c>
      <c r="R31" t="s">
        <v>88</v>
      </c>
      <c r="T31" s="3" t="s">
        <v>96</v>
      </c>
      <c r="U31">
        <v>34</v>
      </c>
    </row>
    <row r="32" spans="1:23">
      <c r="A32" t="s">
        <v>82</v>
      </c>
      <c r="B32" t="s">
        <v>47</v>
      </c>
      <c r="J32" t="s">
        <v>83</v>
      </c>
      <c r="K32">
        <v>2019</v>
      </c>
      <c r="L32">
        <v>5</v>
      </c>
      <c r="N32" t="s">
        <v>36</v>
      </c>
      <c r="R32" t="s">
        <v>88</v>
      </c>
      <c r="T32" s="3" t="s">
        <v>84</v>
      </c>
      <c r="U32">
        <v>60</v>
      </c>
      <c r="V32" t="s">
        <v>26</v>
      </c>
    </row>
    <row r="33" spans="1:22">
      <c r="A33" t="s">
        <v>82</v>
      </c>
      <c r="B33" t="s">
        <v>47</v>
      </c>
      <c r="J33" t="s">
        <v>99</v>
      </c>
      <c r="K33">
        <v>2018</v>
      </c>
      <c r="L33">
        <v>3</v>
      </c>
      <c r="M33" s="1"/>
      <c r="N33" t="s">
        <v>36</v>
      </c>
      <c r="R33" t="s">
        <v>88</v>
      </c>
      <c r="T33" s="3" t="s">
        <v>100</v>
      </c>
      <c r="U33">
        <v>40</v>
      </c>
    </row>
    <row r="34" spans="1:22">
      <c r="A34" t="s">
        <v>82</v>
      </c>
      <c r="B34" t="s">
        <v>47</v>
      </c>
      <c r="J34" t="s">
        <v>99</v>
      </c>
      <c r="K34">
        <v>2019</v>
      </c>
      <c r="L34">
        <v>3</v>
      </c>
      <c r="M34" s="1"/>
      <c r="N34" t="s">
        <v>36</v>
      </c>
      <c r="R34" t="s">
        <v>88</v>
      </c>
      <c r="T34" s="3" t="s">
        <v>101</v>
      </c>
      <c r="U34">
        <v>52</v>
      </c>
    </row>
    <row r="35" spans="1:22">
      <c r="A35" t="s">
        <v>82</v>
      </c>
      <c r="B35" t="s">
        <v>47</v>
      </c>
      <c r="J35" t="s">
        <v>83</v>
      </c>
      <c r="K35">
        <v>2019</v>
      </c>
      <c r="L35">
        <v>5</v>
      </c>
      <c r="M35" s="1"/>
      <c r="N35" t="s">
        <v>36</v>
      </c>
      <c r="R35" t="s">
        <v>88</v>
      </c>
      <c r="T35" t="s">
        <v>115</v>
      </c>
      <c r="U35">
        <v>12</v>
      </c>
    </row>
    <row r="36" spans="1:22">
      <c r="A36" t="s">
        <v>82</v>
      </c>
      <c r="B36" t="s">
        <v>47</v>
      </c>
      <c r="J36" t="s">
        <v>83</v>
      </c>
      <c r="K36">
        <v>2019</v>
      </c>
      <c r="L36">
        <v>5</v>
      </c>
      <c r="M36" s="1"/>
      <c r="N36" t="s">
        <v>36</v>
      </c>
      <c r="R36" t="s">
        <v>88</v>
      </c>
      <c r="T36" s="3" t="s">
        <v>115</v>
      </c>
      <c r="U36">
        <v>12</v>
      </c>
    </row>
    <row r="37" spans="1:22">
      <c r="A37" t="s">
        <v>82</v>
      </c>
      <c r="B37" t="s">
        <v>47</v>
      </c>
      <c r="J37" t="s">
        <v>83</v>
      </c>
      <c r="K37">
        <v>2019</v>
      </c>
      <c r="L37">
        <v>5</v>
      </c>
      <c r="M37" s="1"/>
      <c r="N37" t="s">
        <v>36</v>
      </c>
      <c r="R37" t="s">
        <v>88</v>
      </c>
      <c r="T37" t="s">
        <v>116</v>
      </c>
      <c r="U37">
        <v>14</v>
      </c>
    </row>
    <row r="38" spans="1:22">
      <c r="A38" t="s">
        <v>82</v>
      </c>
      <c r="B38" t="s">
        <v>47</v>
      </c>
      <c r="J38" t="s">
        <v>83</v>
      </c>
      <c r="K38">
        <v>2019</v>
      </c>
      <c r="L38">
        <v>5</v>
      </c>
      <c r="M38" s="1"/>
      <c r="N38" t="s">
        <v>36</v>
      </c>
      <c r="R38" t="s">
        <v>88</v>
      </c>
      <c r="T38" s="3" t="s">
        <v>116</v>
      </c>
      <c r="U38">
        <v>14</v>
      </c>
    </row>
    <row r="39" spans="1:22">
      <c r="A39" t="s">
        <v>82</v>
      </c>
      <c r="B39" t="s">
        <v>47</v>
      </c>
      <c r="J39" t="s">
        <v>83</v>
      </c>
      <c r="K39">
        <v>2019</v>
      </c>
      <c r="L39">
        <v>5</v>
      </c>
      <c r="M39" s="1"/>
      <c r="N39" t="s">
        <v>36</v>
      </c>
      <c r="R39" t="s">
        <v>88</v>
      </c>
      <c r="T39" s="3" t="s">
        <v>116</v>
      </c>
      <c r="U39">
        <v>16</v>
      </c>
    </row>
    <row r="40" spans="1:22">
      <c r="A40" t="s">
        <v>82</v>
      </c>
      <c r="B40" t="s">
        <v>47</v>
      </c>
      <c r="J40" t="s">
        <v>83</v>
      </c>
      <c r="K40">
        <v>2019</v>
      </c>
      <c r="L40">
        <v>5</v>
      </c>
      <c r="M40" s="1"/>
      <c r="N40" t="s">
        <v>36</v>
      </c>
      <c r="R40" t="s">
        <v>88</v>
      </c>
      <c r="T40" t="s">
        <v>117</v>
      </c>
      <c r="U40">
        <v>20</v>
      </c>
    </row>
    <row r="41" spans="1:22">
      <c r="A41" t="s">
        <v>82</v>
      </c>
      <c r="B41" t="s">
        <v>47</v>
      </c>
      <c r="J41" t="s">
        <v>83</v>
      </c>
      <c r="K41">
        <v>2019</v>
      </c>
      <c r="L41">
        <v>5</v>
      </c>
      <c r="M41" s="1"/>
      <c r="N41" t="s">
        <v>36</v>
      </c>
      <c r="R41" t="s">
        <v>88</v>
      </c>
      <c r="T41" t="s">
        <v>117</v>
      </c>
      <c r="U41">
        <v>20</v>
      </c>
    </row>
    <row r="42" spans="1:22">
      <c r="A42" t="s">
        <v>82</v>
      </c>
      <c r="B42" t="s">
        <v>47</v>
      </c>
      <c r="J42" t="s">
        <v>83</v>
      </c>
      <c r="K42">
        <v>2019</v>
      </c>
      <c r="L42">
        <v>5</v>
      </c>
      <c r="M42" s="1"/>
      <c r="N42" t="s">
        <v>36</v>
      </c>
      <c r="R42" t="s">
        <v>88</v>
      </c>
      <c r="T42" t="s">
        <v>117</v>
      </c>
      <c r="U42">
        <v>20</v>
      </c>
    </row>
    <row r="43" spans="1:22">
      <c r="A43" t="s">
        <v>82</v>
      </c>
      <c r="B43" t="s">
        <v>47</v>
      </c>
      <c r="J43" t="s">
        <v>83</v>
      </c>
      <c r="K43">
        <v>2019</v>
      </c>
      <c r="L43">
        <v>5</v>
      </c>
      <c r="M43" s="1"/>
      <c r="N43" t="s">
        <v>36</v>
      </c>
      <c r="R43" t="s">
        <v>88</v>
      </c>
      <c r="T43" s="3" t="s">
        <v>117</v>
      </c>
      <c r="U43">
        <v>20</v>
      </c>
    </row>
    <row r="44" spans="1:22">
      <c r="A44" t="s">
        <v>82</v>
      </c>
      <c r="B44" t="s">
        <v>47</v>
      </c>
      <c r="J44" t="s">
        <v>83</v>
      </c>
      <c r="K44">
        <v>2019</v>
      </c>
      <c r="L44">
        <v>5</v>
      </c>
      <c r="M44" s="1"/>
      <c r="N44" t="s">
        <v>36</v>
      </c>
      <c r="R44" t="s">
        <v>88</v>
      </c>
      <c r="T44" s="3" t="s">
        <v>118</v>
      </c>
      <c r="U44">
        <v>38</v>
      </c>
    </row>
    <row r="45" spans="1:22">
      <c r="A45" t="s">
        <v>82</v>
      </c>
      <c r="B45" t="s">
        <v>47</v>
      </c>
      <c r="J45" t="s">
        <v>83</v>
      </c>
      <c r="K45">
        <v>2019</v>
      </c>
      <c r="L45">
        <v>5</v>
      </c>
      <c r="M45" s="1"/>
      <c r="N45" t="s">
        <v>36</v>
      </c>
      <c r="R45" t="s">
        <v>88</v>
      </c>
      <c r="T45" s="3" t="s">
        <v>119</v>
      </c>
      <c r="U45">
        <v>46</v>
      </c>
    </row>
    <row r="46" spans="1:22">
      <c r="A46" t="s">
        <v>82</v>
      </c>
      <c r="B46" t="s">
        <v>47</v>
      </c>
      <c r="J46" t="s">
        <v>83</v>
      </c>
      <c r="K46">
        <v>2020</v>
      </c>
      <c r="L46">
        <v>5</v>
      </c>
      <c r="M46" s="1"/>
      <c r="N46" t="s">
        <v>36</v>
      </c>
      <c r="R46" t="s">
        <v>88</v>
      </c>
      <c r="T46" s="3" t="s">
        <v>120</v>
      </c>
      <c r="U46">
        <v>49</v>
      </c>
    </row>
    <row r="47" spans="1:22">
      <c r="A47" t="s">
        <v>57</v>
      </c>
      <c r="B47" t="s">
        <v>47</v>
      </c>
      <c r="J47" t="s">
        <v>58</v>
      </c>
      <c r="K47">
        <v>2010</v>
      </c>
      <c r="M47">
        <v>25</v>
      </c>
      <c r="N47" t="s">
        <v>36</v>
      </c>
      <c r="R47" t="s">
        <v>59</v>
      </c>
      <c r="T47" s="3" t="s">
        <v>60</v>
      </c>
      <c r="U47">
        <v>36</v>
      </c>
      <c r="V47" t="s">
        <v>26</v>
      </c>
    </row>
    <row r="48" spans="1:22">
      <c r="A48" t="s">
        <v>57</v>
      </c>
      <c r="B48" t="s">
        <v>47</v>
      </c>
      <c r="K48">
        <v>2019</v>
      </c>
      <c r="L48">
        <v>2</v>
      </c>
      <c r="M48" s="1"/>
      <c r="N48" t="s">
        <v>26</v>
      </c>
      <c r="R48" t="s">
        <v>59</v>
      </c>
      <c r="T48" t="s">
        <v>90</v>
      </c>
      <c r="U48">
        <v>2</v>
      </c>
    </row>
    <row r="49" spans="1:23">
      <c r="A49" t="s">
        <v>57</v>
      </c>
      <c r="B49" t="s">
        <v>47</v>
      </c>
      <c r="K49">
        <v>2019</v>
      </c>
      <c r="L49">
        <v>2</v>
      </c>
      <c r="M49" s="1"/>
      <c r="N49" t="s">
        <v>26</v>
      </c>
      <c r="R49" t="s">
        <v>59</v>
      </c>
      <c r="T49" s="3" t="s">
        <v>90</v>
      </c>
      <c r="U49">
        <v>2</v>
      </c>
    </row>
    <row r="50" spans="1:23">
      <c r="A50" t="s">
        <v>57</v>
      </c>
      <c r="B50" t="s">
        <v>47</v>
      </c>
      <c r="J50" t="s">
        <v>63</v>
      </c>
      <c r="K50">
        <v>2019</v>
      </c>
      <c r="L50">
        <v>2</v>
      </c>
      <c r="M50" s="1"/>
      <c r="N50" t="s">
        <v>26</v>
      </c>
      <c r="R50" t="s">
        <v>59</v>
      </c>
      <c r="T50" s="3" t="s">
        <v>102</v>
      </c>
      <c r="U50">
        <v>95</v>
      </c>
    </row>
    <row r="51" spans="1:23">
      <c r="A51" t="s">
        <v>57</v>
      </c>
      <c r="B51" t="s">
        <v>47</v>
      </c>
      <c r="K51">
        <v>2020</v>
      </c>
      <c r="L51">
        <v>2</v>
      </c>
      <c r="M51" s="1"/>
      <c r="N51" t="s">
        <v>26</v>
      </c>
      <c r="R51" t="s">
        <v>59</v>
      </c>
      <c r="T51" s="3" t="s">
        <v>121</v>
      </c>
      <c r="U51">
        <v>11</v>
      </c>
    </row>
    <row r="52" spans="1:23">
      <c r="A52" t="s">
        <v>62</v>
      </c>
      <c r="B52" t="s">
        <v>47</v>
      </c>
      <c r="J52" t="s">
        <v>63</v>
      </c>
      <c r="K52">
        <v>2010</v>
      </c>
      <c r="L52">
        <v>3</v>
      </c>
      <c r="N52" t="s">
        <v>26</v>
      </c>
      <c r="R52" t="s">
        <v>59</v>
      </c>
      <c r="T52" s="3" t="s">
        <v>64</v>
      </c>
      <c r="U52">
        <v>54</v>
      </c>
      <c r="V52" t="s">
        <v>26</v>
      </c>
    </row>
    <row r="53" spans="1:23">
      <c r="A53" t="s">
        <v>62</v>
      </c>
      <c r="B53" t="s">
        <v>47</v>
      </c>
      <c r="J53" t="s">
        <v>63</v>
      </c>
      <c r="K53">
        <v>2008</v>
      </c>
      <c r="L53">
        <v>3</v>
      </c>
      <c r="N53" t="s">
        <v>26</v>
      </c>
      <c r="R53" t="s">
        <v>59</v>
      </c>
      <c r="T53" s="3" t="s">
        <v>74</v>
      </c>
      <c r="U53">
        <v>20</v>
      </c>
      <c r="V53" t="s">
        <v>26</v>
      </c>
    </row>
    <row r="54" spans="1:23">
      <c r="A54" t="s">
        <v>62</v>
      </c>
      <c r="B54" t="s">
        <v>47</v>
      </c>
      <c r="J54" t="s">
        <v>63</v>
      </c>
      <c r="K54">
        <v>2009</v>
      </c>
      <c r="L54">
        <v>3</v>
      </c>
      <c r="N54" t="s">
        <v>26</v>
      </c>
      <c r="R54" t="s">
        <v>59</v>
      </c>
      <c r="T54" s="3" t="s">
        <v>75</v>
      </c>
      <c r="U54">
        <v>48</v>
      </c>
      <c r="V54" t="s">
        <v>26</v>
      </c>
    </row>
    <row r="55" spans="1:23">
      <c r="A55" t="s">
        <v>62</v>
      </c>
      <c r="B55" t="s">
        <v>47</v>
      </c>
      <c r="J55" t="s">
        <v>63</v>
      </c>
      <c r="K55">
        <v>2011</v>
      </c>
      <c r="L55">
        <v>4</v>
      </c>
      <c r="N55" t="s">
        <v>26</v>
      </c>
      <c r="R55" t="s">
        <v>59</v>
      </c>
      <c r="T55" s="3" t="s">
        <v>80</v>
      </c>
      <c r="U55">
        <v>16</v>
      </c>
      <c r="V55" t="s">
        <v>26</v>
      </c>
    </row>
    <row r="56" spans="1:23">
      <c r="A56" t="s">
        <v>62</v>
      </c>
      <c r="B56" t="s">
        <v>47</v>
      </c>
      <c r="J56" t="s">
        <v>63</v>
      </c>
      <c r="K56">
        <v>2011</v>
      </c>
      <c r="L56">
        <v>4</v>
      </c>
      <c r="M56" s="1"/>
      <c r="N56" t="s">
        <v>26</v>
      </c>
      <c r="R56" t="s">
        <v>136</v>
      </c>
      <c r="T56" s="3" t="s">
        <v>103</v>
      </c>
      <c r="U56">
        <v>48</v>
      </c>
    </row>
    <row r="57" spans="1:23">
      <c r="A57" t="s">
        <v>62</v>
      </c>
      <c r="B57" t="s">
        <v>47</v>
      </c>
      <c r="J57" t="s">
        <v>63</v>
      </c>
      <c r="K57">
        <v>2012</v>
      </c>
      <c r="L57">
        <v>4</v>
      </c>
      <c r="M57" s="1"/>
      <c r="N57" t="s">
        <v>26</v>
      </c>
      <c r="R57" t="s">
        <v>136</v>
      </c>
      <c r="T57" s="3" t="s">
        <v>103</v>
      </c>
      <c r="U57">
        <v>49</v>
      </c>
    </row>
    <row r="58" spans="1:23">
      <c r="A58" t="s">
        <v>62</v>
      </c>
      <c r="B58" t="s">
        <v>47</v>
      </c>
      <c r="J58" t="s">
        <v>63</v>
      </c>
      <c r="K58">
        <v>2008</v>
      </c>
      <c r="L58">
        <v>3</v>
      </c>
      <c r="M58" s="1"/>
      <c r="N58" t="s">
        <v>26</v>
      </c>
      <c r="R58" t="s">
        <v>136</v>
      </c>
      <c r="T58" s="3" t="s">
        <v>105</v>
      </c>
      <c r="U58">
        <v>55</v>
      </c>
    </row>
    <row r="59" spans="1:23">
      <c r="A59" t="s">
        <v>62</v>
      </c>
      <c r="B59" t="s">
        <v>47</v>
      </c>
      <c r="J59" t="s">
        <v>107</v>
      </c>
      <c r="K59">
        <v>2012</v>
      </c>
      <c r="L59">
        <v>1</v>
      </c>
      <c r="M59" s="1"/>
      <c r="N59" t="s">
        <v>26</v>
      </c>
      <c r="R59" t="s">
        <v>136</v>
      </c>
      <c r="T59" s="3" t="s">
        <v>108</v>
      </c>
      <c r="U59">
        <v>18</v>
      </c>
    </row>
    <row r="60" spans="1:23">
      <c r="A60" t="s">
        <v>62</v>
      </c>
      <c r="B60" t="s">
        <v>47</v>
      </c>
      <c r="J60" t="s">
        <v>107</v>
      </c>
      <c r="K60">
        <v>2012</v>
      </c>
      <c r="L60">
        <v>1</v>
      </c>
      <c r="M60" s="1"/>
      <c r="N60" t="s">
        <v>26</v>
      </c>
      <c r="R60" t="s">
        <v>136</v>
      </c>
      <c r="T60" s="3" t="s">
        <v>109</v>
      </c>
      <c r="U60">
        <v>23</v>
      </c>
    </row>
    <row r="61" spans="1:23">
      <c r="A61" t="s">
        <v>62</v>
      </c>
      <c r="B61" t="s">
        <v>47</v>
      </c>
      <c r="J61" t="s">
        <v>63</v>
      </c>
      <c r="K61">
        <v>2009</v>
      </c>
      <c r="L61">
        <v>3</v>
      </c>
      <c r="M61" s="1"/>
      <c r="N61" t="s">
        <v>26</v>
      </c>
      <c r="R61" t="s">
        <v>136</v>
      </c>
      <c r="T61" s="3" t="s">
        <v>110</v>
      </c>
      <c r="U61">
        <v>14</v>
      </c>
    </row>
    <row r="62" spans="1:23">
      <c r="A62" t="s">
        <v>91</v>
      </c>
      <c r="B62" t="s">
        <v>47</v>
      </c>
      <c r="J62" t="s">
        <v>92</v>
      </c>
      <c r="K62" t="s">
        <v>163</v>
      </c>
      <c r="M62" t="s">
        <v>93</v>
      </c>
      <c r="N62" t="s">
        <v>36</v>
      </c>
      <c r="R62" t="s">
        <v>136</v>
      </c>
      <c r="T62" s="3" t="s">
        <v>94</v>
      </c>
      <c r="U62">
        <v>56</v>
      </c>
      <c r="W62">
        <v>22</v>
      </c>
    </row>
    <row r="63" spans="1:23">
      <c r="A63" t="s">
        <v>65</v>
      </c>
      <c r="B63" t="s">
        <v>47</v>
      </c>
      <c r="J63" t="s">
        <v>58</v>
      </c>
      <c r="K63">
        <v>2009</v>
      </c>
      <c r="M63">
        <v>25</v>
      </c>
      <c r="N63" t="s">
        <v>36</v>
      </c>
      <c r="R63" t="s">
        <v>59</v>
      </c>
      <c r="T63" s="3" t="s">
        <v>66</v>
      </c>
      <c r="U63">
        <v>6</v>
      </c>
      <c r="V63" t="s">
        <v>26</v>
      </c>
    </row>
    <row r="64" spans="1:23">
      <c r="A64" t="s">
        <v>65</v>
      </c>
      <c r="B64" t="s">
        <v>47</v>
      </c>
      <c r="J64" t="s">
        <v>63</v>
      </c>
      <c r="K64">
        <v>2009</v>
      </c>
      <c r="M64">
        <v>25</v>
      </c>
      <c r="N64" t="s">
        <v>36</v>
      </c>
      <c r="R64" t="s">
        <v>59</v>
      </c>
      <c r="T64" s="3" t="s">
        <v>106</v>
      </c>
      <c r="U64">
        <v>52</v>
      </c>
    </row>
    <row r="65" spans="1:24">
      <c r="A65" t="s">
        <v>18</v>
      </c>
      <c r="B65" t="s">
        <v>19</v>
      </c>
      <c r="C65" t="s">
        <v>165</v>
      </c>
      <c r="D65" t="s">
        <v>179</v>
      </c>
      <c r="E65" t="s">
        <v>21</v>
      </c>
      <c r="F65" t="s">
        <v>22</v>
      </c>
      <c r="H65" t="s">
        <v>18</v>
      </c>
      <c r="I65">
        <v>2</v>
      </c>
      <c r="K65" t="s">
        <v>163</v>
      </c>
      <c r="O65" t="s">
        <v>23</v>
      </c>
      <c r="P65" t="s">
        <v>24</v>
      </c>
      <c r="R65" t="s">
        <v>21</v>
      </c>
      <c r="T65" s="4" t="s">
        <v>194</v>
      </c>
      <c r="U65">
        <v>345</v>
      </c>
      <c r="V65" t="s">
        <v>26</v>
      </c>
      <c r="W65">
        <v>42</v>
      </c>
      <c r="X65" t="s">
        <v>27</v>
      </c>
    </row>
    <row r="66" spans="1:24">
      <c r="A66" t="s">
        <v>18</v>
      </c>
      <c r="B66" t="s">
        <v>19</v>
      </c>
      <c r="C66" t="s">
        <v>166</v>
      </c>
      <c r="D66" t="s">
        <v>179</v>
      </c>
      <c r="E66" t="s">
        <v>21</v>
      </c>
      <c r="F66" t="s">
        <v>22</v>
      </c>
      <c r="H66" t="s">
        <v>18</v>
      </c>
      <c r="I66">
        <v>3</v>
      </c>
      <c r="K66" t="s">
        <v>163</v>
      </c>
      <c r="O66" t="s">
        <v>23</v>
      </c>
      <c r="P66" t="s">
        <v>24</v>
      </c>
      <c r="R66" t="s">
        <v>21</v>
      </c>
      <c r="T66" s="4" t="s">
        <v>195</v>
      </c>
      <c r="U66">
        <v>355</v>
      </c>
      <c r="V66" t="s">
        <v>26</v>
      </c>
      <c r="W66">
        <v>42</v>
      </c>
      <c r="X66" t="s">
        <v>27</v>
      </c>
    </row>
    <row r="67" spans="1:24">
      <c r="A67" t="s">
        <v>18</v>
      </c>
      <c r="B67" t="s">
        <v>19</v>
      </c>
      <c r="C67" t="s">
        <v>167</v>
      </c>
      <c r="D67" t="s">
        <v>179</v>
      </c>
      <c r="E67" t="s">
        <v>21</v>
      </c>
      <c r="F67" t="s">
        <v>22</v>
      </c>
      <c r="H67" t="s">
        <v>18</v>
      </c>
      <c r="I67">
        <v>4</v>
      </c>
      <c r="K67" t="s">
        <v>163</v>
      </c>
      <c r="O67" t="s">
        <v>23</v>
      </c>
      <c r="P67" t="s">
        <v>24</v>
      </c>
      <c r="R67" t="s">
        <v>21</v>
      </c>
      <c r="T67" s="4" t="s">
        <v>196</v>
      </c>
      <c r="U67">
        <v>365</v>
      </c>
      <c r="V67" t="s">
        <v>26</v>
      </c>
      <c r="W67">
        <v>42</v>
      </c>
      <c r="X67" t="s">
        <v>27</v>
      </c>
    </row>
    <row r="68" spans="1:24">
      <c r="A68" t="s">
        <v>18</v>
      </c>
      <c r="B68" t="s">
        <v>19</v>
      </c>
      <c r="C68" t="s">
        <v>168</v>
      </c>
      <c r="D68" t="s">
        <v>179</v>
      </c>
      <c r="E68" t="s">
        <v>21</v>
      </c>
      <c r="F68" t="s">
        <v>22</v>
      </c>
      <c r="H68" t="s">
        <v>18</v>
      </c>
      <c r="I68">
        <v>5</v>
      </c>
      <c r="K68" t="s">
        <v>163</v>
      </c>
      <c r="O68" t="s">
        <v>23</v>
      </c>
      <c r="P68" t="s">
        <v>24</v>
      </c>
      <c r="R68" t="s">
        <v>21</v>
      </c>
      <c r="T68" s="4" t="s">
        <v>197</v>
      </c>
      <c r="U68">
        <v>375</v>
      </c>
      <c r="V68" t="s">
        <v>26</v>
      </c>
      <c r="W68">
        <v>42</v>
      </c>
      <c r="X68" t="s">
        <v>27</v>
      </c>
    </row>
    <row r="69" spans="1:24">
      <c r="A69" t="s">
        <v>18</v>
      </c>
      <c r="B69" t="s">
        <v>19</v>
      </c>
      <c r="C69" t="s">
        <v>169</v>
      </c>
      <c r="D69" t="s">
        <v>179</v>
      </c>
      <c r="E69" t="s">
        <v>21</v>
      </c>
      <c r="F69" t="s">
        <v>22</v>
      </c>
      <c r="H69" t="s">
        <v>18</v>
      </c>
      <c r="I69">
        <v>6</v>
      </c>
      <c r="K69" t="s">
        <v>163</v>
      </c>
      <c r="O69" t="s">
        <v>23</v>
      </c>
      <c r="P69" t="s">
        <v>24</v>
      </c>
      <c r="R69" t="s">
        <v>21</v>
      </c>
      <c r="T69" s="4" t="s">
        <v>198</v>
      </c>
      <c r="U69">
        <v>385</v>
      </c>
      <c r="V69" t="s">
        <v>26</v>
      </c>
      <c r="W69">
        <v>42</v>
      </c>
      <c r="X69" t="s">
        <v>27</v>
      </c>
    </row>
    <row r="70" spans="1:24">
      <c r="A70" t="s">
        <v>18</v>
      </c>
      <c r="B70" t="s">
        <v>19</v>
      </c>
      <c r="C70" t="s">
        <v>170</v>
      </c>
      <c r="D70" t="s">
        <v>179</v>
      </c>
      <c r="E70" t="s">
        <v>21</v>
      </c>
      <c r="F70" t="s">
        <v>22</v>
      </c>
      <c r="H70" t="s">
        <v>18</v>
      </c>
      <c r="I70">
        <v>7</v>
      </c>
      <c r="K70" t="s">
        <v>163</v>
      </c>
      <c r="O70" t="s">
        <v>23</v>
      </c>
      <c r="P70" t="s">
        <v>24</v>
      </c>
      <c r="R70" t="s">
        <v>21</v>
      </c>
      <c r="T70" s="4" t="s">
        <v>199</v>
      </c>
      <c r="U70">
        <v>395</v>
      </c>
      <c r="V70" t="s">
        <v>26</v>
      </c>
      <c r="W70">
        <v>42</v>
      </c>
      <c r="X70" t="s">
        <v>27</v>
      </c>
    </row>
    <row r="71" spans="1:24">
      <c r="A71" t="s">
        <v>18</v>
      </c>
      <c r="B71" t="s">
        <v>19</v>
      </c>
      <c r="C71" t="s">
        <v>171</v>
      </c>
      <c r="D71" t="s">
        <v>179</v>
      </c>
      <c r="E71" t="s">
        <v>21</v>
      </c>
      <c r="F71" t="s">
        <v>22</v>
      </c>
      <c r="H71" t="s">
        <v>18</v>
      </c>
      <c r="I71">
        <v>8</v>
      </c>
      <c r="K71" t="s">
        <v>163</v>
      </c>
      <c r="O71" t="s">
        <v>23</v>
      </c>
      <c r="P71" t="s">
        <v>24</v>
      </c>
      <c r="R71" t="s">
        <v>21</v>
      </c>
      <c r="T71" s="4" t="s">
        <v>200</v>
      </c>
      <c r="U71">
        <v>405</v>
      </c>
      <c r="V71" t="s">
        <v>26</v>
      </c>
      <c r="W71">
        <v>42</v>
      </c>
      <c r="X71" t="s">
        <v>27</v>
      </c>
    </row>
    <row r="72" spans="1:24">
      <c r="A72" t="s">
        <v>18</v>
      </c>
      <c r="B72" t="s">
        <v>19</v>
      </c>
      <c r="C72" t="s">
        <v>172</v>
      </c>
      <c r="D72" t="s">
        <v>179</v>
      </c>
      <c r="E72" t="s">
        <v>21</v>
      </c>
      <c r="F72" t="s">
        <v>22</v>
      </c>
      <c r="H72" t="s">
        <v>18</v>
      </c>
      <c r="I72">
        <v>9</v>
      </c>
      <c r="K72" t="s">
        <v>163</v>
      </c>
      <c r="O72" t="s">
        <v>23</v>
      </c>
      <c r="P72" t="s">
        <v>24</v>
      </c>
      <c r="R72" t="s">
        <v>21</v>
      </c>
      <c r="T72" s="4" t="s">
        <v>201</v>
      </c>
      <c r="U72">
        <v>415</v>
      </c>
      <c r="V72" t="s">
        <v>26</v>
      </c>
      <c r="W72">
        <v>42</v>
      </c>
      <c r="X72" t="s">
        <v>27</v>
      </c>
    </row>
    <row r="73" spans="1:24">
      <c r="A73" t="s">
        <v>18</v>
      </c>
      <c r="B73" t="s">
        <v>19</v>
      </c>
      <c r="C73" t="s">
        <v>20</v>
      </c>
      <c r="D73" t="s">
        <v>179</v>
      </c>
      <c r="E73" t="s">
        <v>21</v>
      </c>
      <c r="F73" t="s">
        <v>22</v>
      </c>
      <c r="H73" t="s">
        <v>18</v>
      </c>
      <c r="I73">
        <v>10</v>
      </c>
      <c r="K73" t="s">
        <v>163</v>
      </c>
      <c r="O73" t="s">
        <v>23</v>
      </c>
      <c r="P73" t="s">
        <v>24</v>
      </c>
      <c r="R73" t="s">
        <v>21</v>
      </c>
      <c r="T73" s="4" t="s">
        <v>202</v>
      </c>
      <c r="U73">
        <v>425</v>
      </c>
      <c r="V73" t="s">
        <v>26</v>
      </c>
      <c r="W73">
        <v>42</v>
      </c>
      <c r="X73" t="s">
        <v>27</v>
      </c>
    </row>
    <row r="74" spans="1:24">
      <c r="A74" t="s">
        <v>18</v>
      </c>
      <c r="B74" t="s">
        <v>19</v>
      </c>
      <c r="C74" t="s">
        <v>173</v>
      </c>
      <c r="D74" t="s">
        <v>179</v>
      </c>
      <c r="E74" t="s">
        <v>21</v>
      </c>
      <c r="F74" t="s">
        <v>22</v>
      </c>
      <c r="H74" t="s">
        <v>18</v>
      </c>
      <c r="I74">
        <v>11</v>
      </c>
      <c r="K74" t="s">
        <v>163</v>
      </c>
      <c r="O74" t="s">
        <v>23</v>
      </c>
      <c r="P74" t="s">
        <v>24</v>
      </c>
      <c r="R74" t="s">
        <v>21</v>
      </c>
      <c r="T74" s="4" t="s">
        <v>203</v>
      </c>
      <c r="U74">
        <v>435</v>
      </c>
      <c r="V74" t="s">
        <v>26</v>
      </c>
      <c r="W74">
        <v>42</v>
      </c>
      <c r="X74" t="s">
        <v>27</v>
      </c>
    </row>
    <row r="75" spans="1:24">
      <c r="A75" t="s">
        <v>18</v>
      </c>
      <c r="B75" t="s">
        <v>19</v>
      </c>
      <c r="C75" t="s">
        <v>174</v>
      </c>
      <c r="D75" t="s">
        <v>179</v>
      </c>
      <c r="E75" t="s">
        <v>21</v>
      </c>
      <c r="F75" t="s">
        <v>22</v>
      </c>
      <c r="H75" t="s">
        <v>18</v>
      </c>
      <c r="I75">
        <v>12</v>
      </c>
      <c r="K75" t="s">
        <v>163</v>
      </c>
      <c r="O75" t="s">
        <v>23</v>
      </c>
      <c r="P75" t="s">
        <v>24</v>
      </c>
      <c r="R75" t="s">
        <v>21</v>
      </c>
      <c r="T75" s="4" t="s">
        <v>204</v>
      </c>
      <c r="U75">
        <v>445</v>
      </c>
      <c r="V75" t="s">
        <v>26</v>
      </c>
      <c r="W75">
        <v>42</v>
      </c>
      <c r="X75" t="s">
        <v>27</v>
      </c>
    </row>
    <row r="76" spans="1:24">
      <c r="A76" t="s">
        <v>18</v>
      </c>
      <c r="B76" t="s">
        <v>19</v>
      </c>
      <c r="C76" t="s">
        <v>175</v>
      </c>
      <c r="D76" t="s">
        <v>179</v>
      </c>
      <c r="E76" t="s">
        <v>21</v>
      </c>
      <c r="F76" t="s">
        <v>22</v>
      </c>
      <c r="H76" t="s">
        <v>18</v>
      </c>
      <c r="I76">
        <v>13</v>
      </c>
      <c r="K76" t="s">
        <v>163</v>
      </c>
      <c r="O76" t="s">
        <v>23</v>
      </c>
      <c r="P76" t="s">
        <v>24</v>
      </c>
      <c r="R76" t="s">
        <v>21</v>
      </c>
      <c r="T76" s="4" t="s">
        <v>205</v>
      </c>
      <c r="U76">
        <v>455</v>
      </c>
      <c r="V76" t="s">
        <v>26</v>
      </c>
      <c r="W76">
        <v>42</v>
      </c>
      <c r="X76" t="s">
        <v>27</v>
      </c>
    </row>
    <row r="77" spans="1:24">
      <c r="A77" t="s">
        <v>18</v>
      </c>
      <c r="B77" t="s">
        <v>19</v>
      </c>
      <c r="C77" t="s">
        <v>176</v>
      </c>
      <c r="D77" t="s">
        <v>179</v>
      </c>
      <c r="E77" t="s">
        <v>21</v>
      </c>
      <c r="F77" t="s">
        <v>22</v>
      </c>
      <c r="H77" t="s">
        <v>18</v>
      </c>
      <c r="I77">
        <v>14</v>
      </c>
      <c r="K77" t="s">
        <v>163</v>
      </c>
      <c r="O77" t="s">
        <v>23</v>
      </c>
      <c r="P77" t="s">
        <v>24</v>
      </c>
      <c r="R77" t="s">
        <v>21</v>
      </c>
      <c r="T77" s="4" t="s">
        <v>206</v>
      </c>
      <c r="U77">
        <v>465</v>
      </c>
      <c r="V77" t="s">
        <v>26</v>
      </c>
      <c r="W77">
        <v>42</v>
      </c>
      <c r="X77" t="s">
        <v>27</v>
      </c>
    </row>
    <row r="78" spans="1:24">
      <c r="A78" t="s">
        <v>18</v>
      </c>
      <c r="B78" t="s">
        <v>19</v>
      </c>
      <c r="C78" t="s">
        <v>177</v>
      </c>
      <c r="D78" t="s">
        <v>179</v>
      </c>
      <c r="E78" t="s">
        <v>21</v>
      </c>
      <c r="F78" t="s">
        <v>22</v>
      </c>
      <c r="H78" t="s">
        <v>18</v>
      </c>
      <c r="I78">
        <v>15</v>
      </c>
      <c r="K78" t="s">
        <v>163</v>
      </c>
      <c r="O78" t="s">
        <v>23</v>
      </c>
      <c r="P78" t="s">
        <v>24</v>
      </c>
      <c r="R78" t="s">
        <v>21</v>
      </c>
      <c r="T78" s="4" t="s">
        <v>207</v>
      </c>
      <c r="U78">
        <v>475</v>
      </c>
      <c r="V78" t="s">
        <v>26</v>
      </c>
      <c r="W78">
        <v>42</v>
      </c>
      <c r="X78" t="s">
        <v>27</v>
      </c>
    </row>
  </sheetData>
  <sortState xmlns:xlrd2="http://schemas.microsoft.com/office/spreadsheetml/2017/richdata2" ref="A2:X64">
    <sortCondition ref="B2:B64"/>
  </sortState>
  <pageMargins left="0" right="0" top="0.39370078740157505" bottom="0.39370078740157505" header="0" footer="0"/>
  <headerFooter>
    <oddHeader>&amp;C&amp;A</oddHeader>
    <oddFooter>&amp;CSeite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032-BB51-4744-B401-BCB2F6646798}">
  <dimension ref="A1:AD4"/>
  <sheetViews>
    <sheetView workbookViewId="0">
      <selection activeCell="AC5" sqref="AC5"/>
    </sheetView>
  </sheetViews>
  <sheetFormatPr baseColWidth="10" defaultRowHeight="12.5"/>
  <cols>
    <col min="3" max="14" width="10.90625" hidden="1" customWidth="1"/>
    <col min="15" max="24" width="10.90625" customWidth="1"/>
  </cols>
  <sheetData>
    <row r="1" spans="1:30">
      <c r="A1" t="s">
        <v>85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131</v>
      </c>
      <c r="K1" t="s">
        <v>8</v>
      </c>
      <c r="L1" t="s">
        <v>9</v>
      </c>
      <c r="M1" t="s">
        <v>134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86</v>
      </c>
      <c r="U1" t="s">
        <v>89</v>
      </c>
      <c r="V1" t="s">
        <v>16</v>
      </c>
      <c r="W1" t="s">
        <v>133</v>
      </c>
      <c r="X1" t="s">
        <v>17</v>
      </c>
      <c r="Y1" t="s">
        <v>140</v>
      </c>
      <c r="Z1" t="s">
        <v>141</v>
      </c>
      <c r="AA1" t="s">
        <v>142</v>
      </c>
      <c r="AB1" t="s">
        <v>143</v>
      </c>
      <c r="AC1" t="s">
        <v>144</v>
      </c>
      <c r="AD1" t="s">
        <v>145</v>
      </c>
    </row>
    <row r="2" spans="1:30">
      <c r="A2" t="s">
        <v>147</v>
      </c>
      <c r="B2" t="s">
        <v>149</v>
      </c>
      <c r="R2" t="s">
        <v>150</v>
      </c>
      <c r="T2" t="s">
        <v>151</v>
      </c>
      <c r="U2">
        <v>5</v>
      </c>
      <c r="V2" t="s">
        <v>36</v>
      </c>
      <c r="Y2" t="s">
        <v>146</v>
      </c>
      <c r="Z2" t="s">
        <v>139</v>
      </c>
      <c r="AA2" t="s">
        <v>148</v>
      </c>
      <c r="AB2">
        <v>2018</v>
      </c>
      <c r="AC2" t="s">
        <v>26</v>
      </c>
    </row>
    <row r="3" spans="1:30">
      <c r="A3" t="s">
        <v>160</v>
      </c>
      <c r="B3" t="s">
        <v>149</v>
      </c>
      <c r="R3" t="s">
        <v>154</v>
      </c>
      <c r="T3" t="s">
        <v>155</v>
      </c>
      <c r="U3">
        <v>4</v>
      </c>
      <c r="V3" t="s">
        <v>26</v>
      </c>
      <c r="W3" t="s">
        <v>156</v>
      </c>
      <c r="Y3" t="s">
        <v>153</v>
      </c>
      <c r="Z3" t="s">
        <v>152</v>
      </c>
      <c r="AA3" t="s">
        <v>148</v>
      </c>
      <c r="AB3" s="2">
        <v>43809</v>
      </c>
      <c r="AC3" t="s">
        <v>26</v>
      </c>
    </row>
    <row r="4" spans="1:30">
      <c r="A4" t="s">
        <v>159</v>
      </c>
      <c r="R4" t="s">
        <v>154</v>
      </c>
      <c r="T4" t="s">
        <v>161</v>
      </c>
      <c r="U4">
        <v>7</v>
      </c>
      <c r="V4" t="s">
        <v>36</v>
      </c>
      <c r="W4" t="s">
        <v>162</v>
      </c>
      <c r="Y4" t="s">
        <v>158</v>
      </c>
      <c r="Z4" t="s">
        <v>157</v>
      </c>
      <c r="AA4" t="s">
        <v>148</v>
      </c>
      <c r="AB4" s="2">
        <v>43809</v>
      </c>
      <c r="AC4" t="s">
        <v>26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A3F7-3463-4F3E-BB07-77B22D87594D}">
  <dimension ref="A1:X12"/>
  <sheetViews>
    <sheetView tabSelected="1" workbookViewId="0">
      <selection activeCell="G32" sqref="G32"/>
    </sheetView>
  </sheetViews>
  <sheetFormatPr baseColWidth="10" defaultRowHeight="12.5"/>
  <sheetData>
    <row r="1" spans="1:24">
      <c r="A1" t="s">
        <v>182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208</v>
      </c>
    </row>
    <row r="2" spans="1:24">
      <c r="A2" t="s">
        <v>183</v>
      </c>
      <c r="B2">
        <v>68</v>
      </c>
      <c r="C2">
        <v>68</v>
      </c>
      <c r="D2">
        <v>12</v>
      </c>
      <c r="E2">
        <v>19</v>
      </c>
      <c r="F2">
        <v>42</v>
      </c>
      <c r="G2">
        <v>43</v>
      </c>
      <c r="H2">
        <v>23</v>
      </c>
      <c r="I2">
        <f>SUM(B2:H2)</f>
        <v>275</v>
      </c>
    </row>
    <row r="3" spans="1:24" hidden="1">
      <c r="A3" t="s">
        <v>191</v>
      </c>
      <c r="B3">
        <v>116</v>
      </c>
      <c r="C3">
        <v>116</v>
      </c>
      <c r="D3">
        <v>12</v>
      </c>
      <c r="E3">
        <v>20</v>
      </c>
      <c r="F3">
        <v>44</v>
      </c>
      <c r="G3">
        <v>53</v>
      </c>
      <c r="H3">
        <v>24</v>
      </c>
      <c r="I3">
        <f t="shared" ref="I3:I6" si="0">SUM(B3:H3)</f>
        <v>385</v>
      </c>
    </row>
    <row r="4" spans="1:24" hidden="1">
      <c r="B4">
        <v>68</v>
      </c>
      <c r="C4">
        <v>68</v>
      </c>
      <c r="D4">
        <v>12</v>
      </c>
      <c r="E4">
        <v>19</v>
      </c>
      <c r="F4">
        <v>42</v>
      </c>
      <c r="G4">
        <v>43</v>
      </c>
      <c r="H4">
        <v>23</v>
      </c>
      <c r="I4">
        <f t="shared" si="0"/>
        <v>275</v>
      </c>
    </row>
    <row r="5" spans="1:24">
      <c r="B5">
        <v>115</v>
      </c>
      <c r="C5">
        <v>115</v>
      </c>
      <c r="D5">
        <v>12</v>
      </c>
      <c r="E5">
        <v>19</v>
      </c>
      <c r="F5">
        <v>42</v>
      </c>
      <c r="G5">
        <v>50</v>
      </c>
      <c r="H5">
        <v>23</v>
      </c>
      <c r="I5">
        <f t="shared" si="0"/>
        <v>376</v>
      </c>
    </row>
    <row r="6" spans="1:24">
      <c r="B6">
        <v>68</v>
      </c>
      <c r="C6">
        <v>68</v>
      </c>
      <c r="D6">
        <v>12</v>
      </c>
      <c r="E6">
        <v>19</v>
      </c>
      <c r="F6">
        <v>42</v>
      </c>
      <c r="G6">
        <v>48</v>
      </c>
      <c r="H6">
        <v>23</v>
      </c>
      <c r="I6">
        <f t="shared" si="0"/>
        <v>280</v>
      </c>
    </row>
    <row r="7" spans="1:24">
      <c r="A7" t="s">
        <v>192</v>
      </c>
      <c r="B7">
        <f>B6-B2</f>
        <v>0</v>
      </c>
      <c r="C7">
        <f t="shared" ref="C7:H7" si="1">C6-C2</f>
        <v>0</v>
      </c>
      <c r="D7">
        <f t="shared" si="1"/>
        <v>0</v>
      </c>
      <c r="E7">
        <f t="shared" si="1"/>
        <v>0</v>
      </c>
      <c r="F7">
        <f t="shared" si="1"/>
        <v>0</v>
      </c>
      <c r="G7">
        <f t="shared" si="1"/>
        <v>5</v>
      </c>
      <c r="H7">
        <f t="shared" si="1"/>
        <v>0</v>
      </c>
    </row>
    <row r="9" spans="1:24">
      <c r="A9" t="s">
        <v>193</v>
      </c>
    </row>
    <row r="10" spans="1:24">
      <c r="A10" t="s">
        <v>85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131</v>
      </c>
      <c r="K10" t="s">
        <v>8</v>
      </c>
      <c r="L10" t="s">
        <v>9</v>
      </c>
      <c r="M10" t="s">
        <v>134</v>
      </c>
      <c r="N10" t="s">
        <v>10</v>
      </c>
      <c r="O10" t="s">
        <v>11</v>
      </c>
      <c r="P10" t="s">
        <v>12</v>
      </c>
      <c r="Q10" t="s">
        <v>13</v>
      </c>
      <c r="R10" t="s">
        <v>14</v>
      </c>
      <c r="S10" t="s">
        <v>15</v>
      </c>
      <c r="T10" t="s">
        <v>86</v>
      </c>
      <c r="U10" t="s">
        <v>89</v>
      </c>
      <c r="V10" t="s">
        <v>16</v>
      </c>
      <c r="W10" t="s">
        <v>133</v>
      </c>
      <c r="X10" t="s">
        <v>17</v>
      </c>
    </row>
    <row r="11" spans="1:24">
      <c r="A11" t="s">
        <v>97</v>
      </c>
      <c r="B11" s="3" t="s">
        <v>19</v>
      </c>
      <c r="D11" t="s">
        <v>179</v>
      </c>
      <c r="E11" t="s">
        <v>135</v>
      </c>
      <c r="K11" t="s">
        <v>163</v>
      </c>
      <c r="N11" t="s">
        <v>26</v>
      </c>
      <c r="R11" t="s">
        <v>135</v>
      </c>
      <c r="T11" t="s">
        <v>98</v>
      </c>
      <c r="U11">
        <v>9</v>
      </c>
      <c r="W11">
        <v>9</v>
      </c>
    </row>
    <row r="12" spans="1:24">
      <c r="A12" t="s">
        <v>67</v>
      </c>
      <c r="B12" s="3" t="s">
        <v>47</v>
      </c>
      <c r="J12" t="s">
        <v>69</v>
      </c>
      <c r="K12" t="s">
        <v>163</v>
      </c>
      <c r="M12">
        <v>43</v>
      </c>
      <c r="N12" t="s">
        <v>26</v>
      </c>
      <c r="R12" t="s">
        <v>87</v>
      </c>
      <c r="T12" t="s">
        <v>104</v>
      </c>
      <c r="U12">
        <v>26</v>
      </c>
      <c r="W12">
        <v>9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475795c8-4108-4d6b-8e52-edaabebff3af}" enabled="1" method="Standard" siteId="{33733f45-cfce-4d1e-9d17-4adfad5af33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Vollständig</vt:lpstr>
      <vt:lpstr>Tabelle1</vt:lpstr>
      <vt:lpstr>Kontrolle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Juliane Bonenkamp</dc:creator>
  <cp:lastModifiedBy>Juliane Bonenkamp</cp:lastModifiedBy>
  <cp:revision>4</cp:revision>
  <dcterms:created xsi:type="dcterms:W3CDTF">2025-08-12T15:28:44Z</dcterms:created>
  <dcterms:modified xsi:type="dcterms:W3CDTF">2025-11-03T14:50:50Z</dcterms:modified>
</cp:coreProperties>
</file>